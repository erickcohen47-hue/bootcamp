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Cohen\Downloads\"/>
    </mc:Choice>
  </mc:AlternateContent>
  <xr:revisionPtr revIDLastSave="0" documentId="8_{D5D80ABF-1012-4EE5-B3A6-5F9F20C0C511}" xr6:coauthVersionLast="47" xr6:coauthVersionMax="47" xr10:uidLastSave="{00000000-0000-0000-0000-000000000000}"/>
  <bookViews>
    <workbookView xWindow="-120" yWindow="-120" windowWidth="20730" windowHeight="11160" tabRatio="0" xr2:uid="{992CE9D7-4ACE-4D79-BFC5-94598525D4A5}"/>
  </bookViews>
  <sheets>
    <sheet name="APP" sheetId="1" r:id="rId1"/>
    <sheet name="Planilha2" sheetId="2" r:id="rId2"/>
  </sheets>
  <definedNames>
    <definedName name="aporte">APP!$D$12</definedName>
    <definedName name="patrimonio">APP!$D$15</definedName>
    <definedName name="qtdAnos">APP!$D$13</definedName>
    <definedName name="rendimentoCarteira">APP!$D$7</definedName>
    <definedName name="salario">APP!$D$6</definedName>
    <definedName name="taxaMensal">APP!$D$14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4" i="1"/>
  <c r="C35" i="1"/>
  <c r="C36" i="1"/>
  <c r="C31" i="1"/>
  <c r="A16" i="2"/>
  <c r="A17" i="2"/>
  <c r="A18" i="2"/>
  <c r="A19" i="2"/>
  <c r="A20" i="2"/>
  <c r="A21" i="2"/>
  <c r="A11" i="2"/>
  <c r="A12" i="2"/>
  <c r="A13" i="2"/>
  <c r="A14" i="2"/>
  <c r="A15" i="2"/>
  <c r="A10" i="2"/>
  <c r="A5" i="2"/>
  <c r="A6" i="2"/>
  <c r="A7" i="2"/>
  <c r="A8" i="2"/>
  <c r="A9" i="2"/>
  <c r="A4" i="2"/>
  <c r="C28" i="1"/>
  <c r="D8" i="1"/>
  <c r="C21" i="1"/>
  <c r="D21" i="1" s="1"/>
  <c r="C22" i="1"/>
  <c r="D22" i="1" s="1"/>
  <c r="C23" i="1"/>
  <c r="D23" i="1" s="1"/>
  <c r="C24" i="1"/>
  <c r="D24" i="1" s="1"/>
  <c r="C20" i="1"/>
  <c r="D15" i="1"/>
  <c r="D16" i="1" s="1"/>
  <c r="D20" i="1"/>
  <c r="D36" i="1" l="1"/>
  <c r="D31" i="1"/>
  <c r="D33" i="1"/>
  <c r="D34" i="1"/>
  <c r="D35" i="1"/>
  <c r="D32" i="1"/>
  <c r="D37" i="1" l="1"/>
</calcChain>
</file>

<file path=xl/sharedStrings.xml><?xml version="1.0" encoding="utf-8"?>
<sst xmlns="http://schemas.openxmlformats.org/spreadsheetml/2006/main" count="69" uniqueCount="33">
  <si>
    <t>Investimento Mensal</t>
  </si>
  <si>
    <t>Quanto Investir por mês?</t>
  </si>
  <si>
    <t>Por quandos Anos?</t>
  </si>
  <si>
    <t>Taxa de Rendimento Mensal?</t>
  </si>
  <si>
    <t>Patrimônio acumulado?</t>
  </si>
  <si>
    <t>Dividendos Mensais?</t>
  </si>
  <si>
    <t>Cenários</t>
  </si>
  <si>
    <t>Quanto em 2 Anos?</t>
  </si>
  <si>
    <t>Quanto em 5 Anos?</t>
  </si>
  <si>
    <t>Quanto em 20 Anos?</t>
  </si>
  <si>
    <t>Quanto em 10 Anos?</t>
  </si>
  <si>
    <t>Qunato em 30 Anos?</t>
  </si>
  <si>
    <t>Dividendo</t>
  </si>
  <si>
    <t>Configurações</t>
  </si>
  <si>
    <t>Rendimento Carteira</t>
  </si>
  <si>
    <t>Salário</t>
  </si>
  <si>
    <t>Convervador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</si>
  <si>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</si>
  <si>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</si>
  <si>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</si>
  <si>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</si>
  <si>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</si>
  <si>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</si>
  <si>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</si>
  <si>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</si>
  <si>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</si>
  <si>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</si>
  <si>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HOTELARIAS</t>
  </si>
  <si>
    <t>%</t>
  </si>
  <si>
    <t>CHAVE</t>
  </si>
  <si>
    <t>Moderado</t>
  </si>
  <si>
    <t>Agressivo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</si>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</sst>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indexed="64"/>
      </bottom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medium">
        <color indexed="64"/>
      </bottom>
      <diagonal/>
    </border>
    <border>
      <left/>
      <right/>
      <top style="medium">
        <color theme="0"/>
      </top>
      <bottom style="medium">
        <color indexed="64"/>
      </bottom>
      <diagonal/>
    </border>
    <border>
      <left/>
      <right style="medium">
        <color indexed="64"/>
      </right>
      <top style="medium">
        <color theme="0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5">
    <xf numFmtId="0" fontId="0" fillId="0" borderId="0" xfId="0"/>
    <xf numFmtId="0" fontId="5" fillId="0" borderId="0" xfId="0" applyFont="1"/>
    <xf numFmtId="0" fontId="4" fillId="4" borderId="0" xfId="0" applyFont="1" applyFill="1"/>
    <xf numFmtId="0" fontId="6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0" fillId="4" borderId="0" xfId="0" applyFill="1"/>
    <xf numFmtId="0" fontId="6" fillId="3" borderId="3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left" indent="2"/>
    </xf>
    <xf numFmtId="0" fontId="8" fillId="6" borderId="12" xfId="0" applyFont="1" applyFill="1" applyBorder="1" applyAlignment="1">
      <alignment horizontal="left" indent="2"/>
    </xf>
    <xf numFmtId="0" fontId="8" fillId="6" borderId="14" xfId="0" applyFont="1" applyFill="1" applyBorder="1" applyAlignment="1">
      <alignment horizontal="left" indent="2"/>
    </xf>
    <xf numFmtId="0" fontId="8" fillId="6" borderId="15" xfId="0" applyFont="1" applyFill="1" applyBorder="1" applyAlignment="1">
      <alignment horizontal="left" indent="2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6" fontId="4" fillId="0" borderId="13" xfId="1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0" fontId="4" fillId="0" borderId="16" xfId="2" applyNumberFormat="1" applyFont="1" applyBorder="1" applyAlignment="1">
      <alignment horizontal="center"/>
    </xf>
    <xf numFmtId="0" fontId="9" fillId="4" borderId="14" xfId="0" applyFont="1" applyFill="1" applyBorder="1" applyAlignment="1">
      <alignment horizontal="left" indent="2"/>
    </xf>
    <xf numFmtId="0" fontId="9" fillId="4" borderId="15" xfId="0" applyFont="1" applyFill="1" applyBorder="1" applyAlignment="1">
      <alignment horizontal="left" indent="2"/>
    </xf>
    <xf numFmtId="8" fontId="4" fillId="4" borderId="16" xfId="0" applyNumberFormat="1" applyFont="1" applyFill="1" applyBorder="1" applyAlignment="1">
      <alignment horizontal="center"/>
    </xf>
    <xf numFmtId="0" fontId="9" fillId="4" borderId="17" xfId="0" applyFont="1" applyFill="1" applyBorder="1" applyAlignment="1">
      <alignment horizontal="left" indent="2"/>
    </xf>
    <xf numFmtId="0" fontId="9" fillId="4" borderId="18" xfId="0" applyFont="1" applyFill="1" applyBorder="1" applyAlignment="1">
      <alignment horizontal="left" indent="2"/>
    </xf>
    <xf numFmtId="8" fontId="4" fillId="4" borderId="19" xfId="0" applyNumberFormat="1" applyFont="1" applyFill="1" applyBorder="1" applyAlignment="1">
      <alignment horizontal="center"/>
    </xf>
    <xf numFmtId="0" fontId="8" fillId="4" borderId="4" xfId="0" applyFont="1" applyFill="1" applyBorder="1" applyAlignment="1">
      <alignment horizontal="left" indent="2"/>
    </xf>
    <xf numFmtId="0" fontId="8" fillId="4" borderId="7" xfId="0" applyFont="1" applyFill="1" applyBorder="1" applyAlignment="1">
      <alignment horizontal="left" indent="2"/>
    </xf>
    <xf numFmtId="0" fontId="8" fillId="4" borderId="8" xfId="0" applyFont="1" applyFill="1" applyBorder="1" applyAlignment="1">
      <alignment horizontal="left" indent="2"/>
    </xf>
    <xf numFmtId="8" fontId="0" fillId="4" borderId="5" xfId="0" applyNumberFormat="1" applyFill="1" applyBorder="1" applyAlignment="1">
      <alignment horizontal="center"/>
    </xf>
    <xf numFmtId="8" fontId="0" fillId="4" borderId="6" xfId="0" applyNumberFormat="1" applyFill="1" applyBorder="1" applyAlignment="1">
      <alignment horizontal="center"/>
    </xf>
    <xf numFmtId="8" fontId="0" fillId="4" borderId="10" xfId="0" applyNumberFormat="1" applyFill="1" applyBorder="1" applyAlignment="1">
      <alignment horizontal="center"/>
    </xf>
    <xf numFmtId="8" fontId="0" fillId="4" borderId="9" xfId="0" applyNumberFormat="1" applyFill="1" applyBorder="1" applyAlignment="1">
      <alignment horizontal="center"/>
    </xf>
    <xf numFmtId="0" fontId="8" fillId="6" borderId="20" xfId="0" applyFont="1" applyFill="1" applyBorder="1" applyAlignment="1">
      <alignment horizontal="left" indent="2"/>
    </xf>
    <xf numFmtId="0" fontId="8" fillId="6" borderId="21" xfId="0" applyFont="1" applyFill="1" applyBorder="1" applyAlignment="1">
      <alignment horizontal="left" indent="2"/>
    </xf>
    <xf numFmtId="166" fontId="0" fillId="0" borderId="22" xfId="1" applyNumberFormat="1" applyFont="1" applyBorder="1" applyAlignment="1">
      <alignment horizontal="center" vertical="top"/>
    </xf>
    <xf numFmtId="0" fontId="8" fillId="6" borderId="23" xfId="0" applyFont="1" applyFill="1" applyBorder="1" applyAlignment="1">
      <alignment horizontal="left" indent="2"/>
    </xf>
    <xf numFmtId="0" fontId="8" fillId="6" borderId="24" xfId="0" applyFont="1" applyFill="1" applyBorder="1" applyAlignment="1">
      <alignment horizontal="left" indent="2"/>
    </xf>
    <xf numFmtId="10" fontId="0" fillId="0" borderId="25" xfId="0" applyNumberFormat="1" applyBorder="1" applyAlignment="1">
      <alignment horizontal="center" vertical="top"/>
    </xf>
    <xf numFmtId="0" fontId="8" fillId="6" borderId="26" xfId="0" applyFont="1" applyFill="1" applyBorder="1" applyAlignment="1">
      <alignment horizontal="left" indent="2"/>
    </xf>
    <xf numFmtId="0" fontId="8" fillId="6" borderId="27" xfId="0" applyFont="1" applyFill="1" applyBorder="1" applyAlignment="1">
      <alignment horizontal="left" indent="2"/>
    </xf>
    <xf numFmtId="166" fontId="0" fillId="6" borderId="28" xfId="1" applyNumberFormat="1" applyFont="1" applyFill="1" applyBorder="1" applyAlignment="1">
      <alignment horizontal="center" vertical="top"/>
    </xf>
    <xf numFmtId="0" fontId="2" fillId="2" borderId="0" xfId="3"/>
    <xf numFmtId="0" fontId="2" fillId="2" borderId="0" xfId="3" applyAlignment="1">
      <alignment horizontal="center"/>
    </xf>
    <xf numFmtId="0" fontId="2" fillId="2" borderId="0" xfId="3" applyBorder="1" applyAlignment="1">
      <alignment horizontal="left"/>
    </xf>
    <xf numFmtId="166" fontId="4" fillId="4" borderId="0" xfId="0" applyNumberFormat="1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166" fontId="0" fillId="7" borderId="0" xfId="0" applyNumberFormat="1" applyFill="1"/>
    <xf numFmtId="166" fontId="0" fillId="6" borderId="0" xfId="0" applyNumberFormat="1" applyFill="1"/>
    <xf numFmtId="0" fontId="0" fillId="0" borderId="29" xfId="0" applyBorder="1"/>
    <xf numFmtId="0" fontId="0" fillId="0" borderId="29" xfId="0" applyBorder="1" applyAlignment="1">
      <alignment horizontal="center"/>
    </xf>
    <xf numFmtId="9" fontId="0" fillId="0" borderId="29" xfId="0" applyNumberFormat="1" applyBorder="1" applyAlignment="1">
      <alignment horizontal="center"/>
    </xf>
    <xf numFmtId="9" fontId="0" fillId="0" borderId="0" xfId="0" applyNumberFormat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D4-49CF-855E-E37F01D1715F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APP!$B$31:$B$36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APP!$C$31:$C$36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4-49CF-855E-E37F01D17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35944</xdr:colOff>
      <xdr:row>38</xdr:row>
      <xdr:rowOff>138023</xdr:rowOff>
    </xdr:from>
    <xdr:to>
      <xdr:col>4</xdr:col>
      <xdr:colOff>53916</xdr:colOff>
      <xdr:row>54</xdr:row>
      <xdr:rowOff>107830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ABD2FB-611C-1FBC-036A-9553E50B0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FCBC-C96D-4CBF-9919-F4C0C50A88B4}">
  <dimension ref="A4:F66"/>
  <sheetViews>
    <sheetView showGridLines="0" tabSelected="1" topLeftCell="A24" zoomScale="53" zoomScaleNormal="53" workbookViewId="0">
      <selection activeCell="F46" sqref="F46"/>
    </sheetView>
  </sheetViews>
  <sheetFormatPr defaultColWidth="0" defaultRowHeight="15" x14ac:dyDescent="0.25"/>
  <cols>
    <col min="1" max="1" width="6" customWidth="1"/>
    <col min="2" max="2" width="49.5703125" customWidth="1"/>
    <col min="3" max="3" width="18.85546875" bestFit="1" customWidth="1"/>
    <col min="4" max="4" width="18" bestFit="1" customWidth="1"/>
    <col min="5" max="5" width="25.140625" bestFit="1" customWidth="1"/>
    <col min="6" max="6" width="13.7109375" customWidth="1"/>
    <col min="7" max="9" width="9.140625" customWidth="1"/>
    <col min="10" max="16384" width="9.140625" hidden="1"/>
  </cols>
  <sheetData>
    <row r="4" spans="2:4" ht="15.75" thickBot="1" x14ac:dyDescent="0.3"/>
    <row r="5" spans="2:4" ht="24" x14ac:dyDescent="0.25">
      <c r="B5" s="8" t="s">
        <v>13</v>
      </c>
      <c r="C5" s="10"/>
      <c r="D5" s="9"/>
    </row>
    <row r="6" spans="2:4" ht="18" thickBot="1" x14ac:dyDescent="0.35">
      <c r="B6" s="34" t="s">
        <v>15</v>
      </c>
      <c r="C6" s="35"/>
      <c r="D6" s="36">
        <v>2000</v>
      </c>
    </row>
    <row r="7" spans="2:4" ht="18" thickBot="1" x14ac:dyDescent="0.35">
      <c r="B7" s="37" t="s">
        <v>14</v>
      </c>
      <c r="C7" s="38"/>
      <c r="D7" s="39">
        <v>8.8999999999999999E-3</v>
      </c>
    </row>
    <row r="8" spans="2:4" ht="18" thickBot="1" x14ac:dyDescent="0.35">
      <c r="B8" s="40" t="s">
        <v>32</v>
      </c>
      <c r="C8" s="41"/>
      <c r="D8" s="42">
        <f>salario*30%</f>
        <v>600</v>
      </c>
    </row>
    <row r="10" spans="2:4" ht="15.75" thickBot="1" x14ac:dyDescent="0.3"/>
    <row r="11" spans="2:4" ht="38.25" customHeight="1" x14ac:dyDescent="0.25">
      <c r="B11" s="15" t="s">
        <v>0</v>
      </c>
      <c r="C11" s="16"/>
      <c r="D11" s="17"/>
    </row>
    <row r="12" spans="2:4" ht="16.5" customHeight="1" thickBot="1" x14ac:dyDescent="0.35">
      <c r="B12" s="11" t="s">
        <v>1</v>
      </c>
      <c r="C12" s="12"/>
      <c r="D12" s="18">
        <v>200</v>
      </c>
    </row>
    <row r="13" spans="2:4" ht="16.5" customHeight="1" thickBot="1" x14ac:dyDescent="0.35">
      <c r="B13" s="13" t="s">
        <v>2</v>
      </c>
      <c r="C13" s="14"/>
      <c r="D13" s="19">
        <v>5</v>
      </c>
    </row>
    <row r="14" spans="2:4" ht="16.5" customHeight="1" thickBot="1" x14ac:dyDescent="0.35">
      <c r="B14" s="13" t="s">
        <v>3</v>
      </c>
      <c r="C14" s="14"/>
      <c r="D14" s="20">
        <v>1.0789999999999999E-2</v>
      </c>
    </row>
    <row r="15" spans="2:4" ht="16.5" customHeight="1" thickBot="1" x14ac:dyDescent="0.35">
      <c r="B15" s="21" t="s">
        <v>4</v>
      </c>
      <c r="C15" s="22"/>
      <c r="D15" s="23">
        <f>FV(taxaMensal,qtdAnos*12,aporte*-1)</f>
        <v>16755.382799697527</v>
      </c>
    </row>
    <row r="16" spans="2:4" ht="16.5" customHeight="1" thickBot="1" x14ac:dyDescent="0.35">
      <c r="B16" s="24" t="s">
        <v>5</v>
      </c>
      <c r="C16" s="25"/>
      <c r="D16" s="26">
        <f>patrimonio*rendimentoCarteira</f>
        <v>149.122906917308</v>
      </c>
    </row>
    <row r="18" spans="1:4" ht="15.75" thickBot="1" x14ac:dyDescent="0.3"/>
    <row r="19" spans="1:4" ht="26.25" x14ac:dyDescent="0.25">
      <c r="B19" s="3" t="s">
        <v>6</v>
      </c>
      <c r="C19" s="6"/>
      <c r="D19" s="4" t="s">
        <v>12</v>
      </c>
    </row>
    <row r="20" spans="1:4" ht="18" thickBot="1" x14ac:dyDescent="0.35">
      <c r="A20" s="1">
        <v>2</v>
      </c>
      <c r="B20" s="27" t="s">
        <v>7</v>
      </c>
      <c r="C20" s="30">
        <f>FV(taxaMensal,$A20*12,aporte*-1)</f>
        <v>5445.5254595290435</v>
      </c>
      <c r="D20" s="31">
        <f>C20*rendimentoCarteira</f>
        <v>48.465176589808486</v>
      </c>
    </row>
    <row r="21" spans="1:4" ht="18" thickBot="1" x14ac:dyDescent="0.35">
      <c r="A21" s="1">
        <v>5</v>
      </c>
      <c r="B21" s="28" t="s">
        <v>8</v>
      </c>
      <c r="C21" s="30">
        <f>FV(taxaMensal,$A21*12,aporte*-1)</f>
        <v>16755.382799697527</v>
      </c>
      <c r="D21" s="31">
        <f>C21*rendimentoCarteira</f>
        <v>149.122906917308</v>
      </c>
    </row>
    <row r="22" spans="1:4" ht="18" thickBot="1" x14ac:dyDescent="0.35">
      <c r="A22" s="1">
        <v>10</v>
      </c>
      <c r="B22" s="28" t="s">
        <v>10</v>
      </c>
      <c r="C22" s="30">
        <f>FV(taxaMensal,$A22*12,aporte*-1)</f>
        <v>48656.842506034438</v>
      </c>
      <c r="D22" s="31">
        <f>C22*rendimentoCarteira</f>
        <v>433.04589830370651</v>
      </c>
    </row>
    <row r="23" spans="1:4" ht="18" thickBot="1" x14ac:dyDescent="0.35">
      <c r="A23" s="1">
        <v>20</v>
      </c>
      <c r="B23" s="28" t="s">
        <v>9</v>
      </c>
      <c r="C23" s="30">
        <f>FV(taxaMensal,$A23*12,aporte*-1)</f>
        <v>225039.68001941612</v>
      </c>
      <c r="D23" s="31">
        <f>C23*rendimentoCarteira</f>
        <v>2002.8531521728034</v>
      </c>
    </row>
    <row r="24" spans="1:4" ht="18" thickBot="1" x14ac:dyDescent="0.35">
      <c r="A24" s="1">
        <v>30</v>
      </c>
      <c r="B24" s="29" t="s">
        <v>11</v>
      </c>
      <c r="C24" s="32">
        <f>FV(taxaMensal,$A24*12,aporte*-1)</f>
        <v>864433.93100094295</v>
      </c>
      <c r="D24" s="33">
        <f>C24*rendimentoCarteira</f>
        <v>7693.4619859083923</v>
      </c>
    </row>
    <row r="27" spans="1:4" x14ac:dyDescent="0.25">
      <c r="B27" s="45" t="s">
        <v>18</v>
      </c>
      <c r="C27" s="44" t="s">
        <v>31</v>
      </c>
      <c r="D27" s="43"/>
    </row>
    <row r="28" spans="1:4" x14ac:dyDescent="0.25">
      <c r="B28" s="2" t="s">
        <v>17</v>
      </c>
      <c r="C28" s="46">
        <f>aporte</f>
        <v>200</v>
      </c>
      <c r="D28" s="5"/>
    </row>
    <row r="30" spans="1:4" x14ac:dyDescent="0.25">
      <c r="B30" s="47" t="s">
        <v>19</v>
      </c>
      <c r="C30" s="47" t="s">
        <v>20</v>
      </c>
      <c r="D30" s="47" t="s">
        <v>21</v>
      </c>
    </row>
    <row r="31" spans="1:4" x14ac:dyDescent="0.25">
      <c r="B31" s="7" t="s">
        <v>22</v>
      </c>
      <c r="C31" s="54">
        <f>VLOOKUP($C$27&amp;" - "&amp;B31,Planilha2!A3:D21,4,FALSE)</f>
        <v>0.5</v>
      </c>
      <c r="D31" s="50">
        <f>C31*$C$28</f>
        <v>100</v>
      </c>
    </row>
    <row r="32" spans="1:4" x14ac:dyDescent="0.25">
      <c r="B32" s="7" t="s">
        <v>23</v>
      </c>
      <c r="C32" s="54">
        <f>VLOOKUP($C$27&amp;" - "&amp;B32,Planilha2!A4:D22,4,FALSE)</f>
        <v>0.1</v>
      </c>
      <c r="D32" s="50">
        <f t="shared" ref="D32:D36" si="0">C32*$C$28</f>
        <v>20</v>
      </c>
    </row>
    <row r="33" spans="2:4" x14ac:dyDescent="0.25">
      <c r="B33" s="7" t="s">
        <v>24</v>
      </c>
      <c r="C33" s="54">
        <f>VLOOKUP($C$27&amp;" - "&amp;B33,Planilha2!A5:D23,4,FALSE)</f>
        <v>0.05</v>
      </c>
      <c r="D33" s="50">
        <f t="shared" si="0"/>
        <v>10</v>
      </c>
    </row>
    <row r="34" spans="2:4" x14ac:dyDescent="0.25">
      <c r="B34" s="7" t="s">
        <v>25</v>
      </c>
      <c r="C34" s="54">
        <f>VLOOKUP($C$27&amp;" - "&amp;B34,Planilha2!A6:D24,4,FALSE)</f>
        <v>0.05</v>
      </c>
      <c r="D34" s="50">
        <f t="shared" si="0"/>
        <v>10</v>
      </c>
    </row>
    <row r="35" spans="2:4" x14ac:dyDescent="0.25">
      <c r="B35" s="7" t="s">
        <v>26</v>
      </c>
      <c r="C35" s="54">
        <f>VLOOKUP($C$27&amp;" - "&amp;B35,Planilha2!A7:D25,4,FALSE)</f>
        <v>0.2</v>
      </c>
      <c r="D35" s="50">
        <f t="shared" si="0"/>
        <v>40</v>
      </c>
    </row>
    <row r="36" spans="2:4" x14ac:dyDescent="0.25">
      <c r="B36" s="7" t="s">
        <v>27</v>
      </c>
      <c r="C36" s="54">
        <f>VLOOKUP($C$27&amp;" - "&amp;B36,Planilha2!A8:D26,4,FALSE)</f>
        <v>0.1</v>
      </c>
      <c r="D36" s="50">
        <f t="shared" si="0"/>
        <v>20</v>
      </c>
    </row>
    <row r="37" spans="2:4" x14ac:dyDescent="0.25">
      <c r="B37" s="48"/>
      <c r="C37" s="48"/>
      <c r="D37" s="49">
        <f>SUM(D31:D36)</f>
        <v>200</v>
      </c>
    </row>
    <row r="65" customFormat="1" x14ac:dyDescent="0.25"/>
    <row r="66" customFormat="1" x14ac:dyDescent="0.25"/>
  </sheetData>
  <mergeCells count="11">
    <mergeCell ref="B12:C12"/>
    <mergeCell ref="B13:C13"/>
    <mergeCell ref="B14:C14"/>
    <mergeCell ref="B15:C15"/>
    <mergeCell ref="B16:C16"/>
    <mergeCell ref="B11:D11"/>
    <mergeCell ref="B5:D5"/>
    <mergeCell ref="B19:C19"/>
    <mergeCell ref="B6:C6"/>
    <mergeCell ref="B7:C7"/>
    <mergeCell ref="B8:C8"/>
  </mergeCells>
  <dataValidations count="1">
    <dataValidation type="list" allowBlank="1" showInputMessage="1" showErrorMessage="1" sqref="C27" xr:uid="{771E4DAC-1D02-4603-8D14-DC5D3AD8BE3F}">
      <formula1>"Convervador,Moderado,Agressivo"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37F4-449A-4F1C-9906-BDA3C6C395A8}">
  <dimension ref="A3:D21"/>
  <sheetViews>
    <sheetView topLeftCell="A4" workbookViewId="0">
      <selection activeCell="D15" sqref="D15"/>
    </sheetView>
  </sheetViews>
  <sheetFormatPr defaultRowHeight="15" x14ac:dyDescent="0.25"/>
  <cols>
    <col min="1" max="1" width="31.5703125" bestFit="1" customWidth="1"/>
    <col min="2" max="2" width="12" bestFit="1" customWidth="1"/>
    <col min="3" max="3" width="18.5703125" bestFit="1" customWidth="1"/>
    <col min="4" max="4" width="9.140625" style="7"/>
  </cols>
  <sheetData>
    <row r="3" spans="1:4" x14ac:dyDescent="0.25">
      <c r="A3" t="s">
        <v>29</v>
      </c>
      <c r="B3" s="7" t="s">
        <v>18</v>
      </c>
      <c r="C3" s="7" t="s">
        <v>19</v>
      </c>
      <c r="D3" s="7" t="s">
        <v>28</v>
      </c>
    </row>
    <row r="4" spans="1:4" x14ac:dyDescent="0.25">
      <c r="A4" t="str">
        <f>B4&amp;" - "&amp;C4</f>
        <v>Convervador - PAPEL</v>
      </c>
      <c r="B4" t="s">
        <v>16</v>
      </c>
      <c r="C4" s="7" t="s">
        <v>22</v>
      </c>
      <c r="D4" s="54">
        <v>0.3</v>
      </c>
    </row>
    <row r="5" spans="1:4" x14ac:dyDescent="0.25">
      <c r="A5" t="str">
        <f t="shared" ref="A5:A21" si="0">B5&amp;" - "&amp;C5</f>
        <v>Convervador - TIJOLO</v>
      </c>
      <c r="B5" t="s">
        <v>16</v>
      </c>
      <c r="C5" s="7" t="s">
        <v>23</v>
      </c>
      <c r="D5" s="54">
        <v>0.5</v>
      </c>
    </row>
    <row r="6" spans="1:4" x14ac:dyDescent="0.25">
      <c r="A6" t="str">
        <f t="shared" si="0"/>
        <v>Convervador - HÍBRIDO</v>
      </c>
      <c r="B6" t="s">
        <v>16</v>
      </c>
      <c r="C6" s="7" t="s">
        <v>24</v>
      </c>
      <c r="D6" s="54">
        <v>0.1</v>
      </c>
    </row>
    <row r="7" spans="1:4" x14ac:dyDescent="0.25">
      <c r="A7" t="str">
        <f t="shared" si="0"/>
        <v>Convervador - FOFs</v>
      </c>
      <c r="B7" t="s">
        <v>16</v>
      </c>
      <c r="C7" s="7" t="s">
        <v>25</v>
      </c>
      <c r="D7" s="54">
        <v>0.1</v>
      </c>
    </row>
    <row r="8" spans="1:4" x14ac:dyDescent="0.25">
      <c r="A8" t="str">
        <f t="shared" si="0"/>
        <v>Convervador - DESENVOLVIMENTO</v>
      </c>
      <c r="B8" t="s">
        <v>16</v>
      </c>
      <c r="C8" s="7" t="s">
        <v>26</v>
      </c>
      <c r="D8" s="54">
        <v>0</v>
      </c>
    </row>
    <row r="9" spans="1:4" x14ac:dyDescent="0.25">
      <c r="A9" t="str">
        <f t="shared" si="0"/>
        <v>Convervador - HOTELARIAS</v>
      </c>
      <c r="B9" t="s">
        <v>16</v>
      </c>
      <c r="C9" s="7" t="s">
        <v>27</v>
      </c>
      <c r="D9" s="54">
        <v>0</v>
      </c>
    </row>
    <row r="10" spans="1:4" x14ac:dyDescent="0.25">
      <c r="A10" s="51" t="str">
        <f t="shared" si="0"/>
        <v>Moderado - PAPEL</v>
      </c>
      <c r="B10" s="51" t="s">
        <v>30</v>
      </c>
      <c r="C10" s="52" t="s">
        <v>22</v>
      </c>
      <c r="D10" s="53">
        <v>0.32</v>
      </c>
    </row>
    <row r="11" spans="1:4" x14ac:dyDescent="0.25">
      <c r="A11" t="str">
        <f t="shared" si="0"/>
        <v>Moderado - TIJOLO</v>
      </c>
      <c r="B11" t="s">
        <v>30</v>
      </c>
      <c r="C11" s="7" t="s">
        <v>23</v>
      </c>
      <c r="D11" s="54">
        <v>0.35</v>
      </c>
    </row>
    <row r="12" spans="1:4" x14ac:dyDescent="0.25">
      <c r="A12" t="str">
        <f t="shared" si="0"/>
        <v>Moderado - HÍBRIDO</v>
      </c>
      <c r="B12" t="s">
        <v>30</v>
      </c>
      <c r="C12" s="7" t="s">
        <v>24</v>
      </c>
      <c r="D12" s="54">
        <v>0.08</v>
      </c>
    </row>
    <row r="13" spans="1:4" x14ac:dyDescent="0.25">
      <c r="A13" t="str">
        <f t="shared" si="0"/>
        <v>Moderado - FOFs</v>
      </c>
      <c r="B13" t="s">
        <v>30</v>
      </c>
      <c r="C13" s="7" t="s">
        <v>25</v>
      </c>
      <c r="D13" s="54">
        <v>0.05</v>
      </c>
    </row>
    <row r="14" spans="1:4" x14ac:dyDescent="0.25">
      <c r="A14" t="str">
        <f t="shared" si="0"/>
        <v>Moderado - DESENVOLVIMENTO</v>
      </c>
      <c r="B14" t="s">
        <v>30</v>
      </c>
      <c r="C14" s="7" t="s">
        <v>26</v>
      </c>
      <c r="D14" s="54">
        <v>0.1</v>
      </c>
    </row>
    <row r="15" spans="1:4" x14ac:dyDescent="0.25">
      <c r="A15" t="str">
        <f t="shared" si="0"/>
        <v>Moderado - HOTELARIAS</v>
      </c>
      <c r="B15" t="s">
        <v>30</v>
      </c>
      <c r="C15" s="7" t="s">
        <v>27</v>
      </c>
      <c r="D15" s="54">
        <v>0.1</v>
      </c>
    </row>
    <row r="16" spans="1:4" x14ac:dyDescent="0.25">
      <c r="A16" s="51" t="str">
        <f t="shared" si="0"/>
        <v>Agressivo - PAPEL</v>
      </c>
      <c r="B16" s="51" t="s">
        <v>31</v>
      </c>
      <c r="C16" s="52" t="s">
        <v>22</v>
      </c>
      <c r="D16" s="53">
        <v>0.5</v>
      </c>
    </row>
    <row r="17" spans="1:4" x14ac:dyDescent="0.25">
      <c r="A17" t="str">
        <f t="shared" si="0"/>
        <v>Agressivo - TIJOLO</v>
      </c>
      <c r="B17" t="s">
        <v>31</v>
      </c>
      <c r="C17" s="7" t="s">
        <v>23</v>
      </c>
      <c r="D17" s="54">
        <v>0.1</v>
      </c>
    </row>
    <row r="18" spans="1:4" x14ac:dyDescent="0.25">
      <c r="A18" t="str">
        <f t="shared" si="0"/>
        <v>Agressivo - HÍBRIDO</v>
      </c>
      <c r="B18" t="s">
        <v>31</v>
      </c>
      <c r="C18" s="7" t="s">
        <v>24</v>
      </c>
      <c r="D18" s="54">
        <v>0.05</v>
      </c>
    </row>
    <row r="19" spans="1:4" x14ac:dyDescent="0.25">
      <c r="A19" t="str">
        <f t="shared" si="0"/>
        <v>Agressivo - FOFs</v>
      </c>
      <c r="B19" t="s">
        <v>31</v>
      </c>
      <c r="C19" s="7" t="s">
        <v>25</v>
      </c>
      <c r="D19" s="54">
        <v>0.05</v>
      </c>
    </row>
    <row r="20" spans="1:4" x14ac:dyDescent="0.25">
      <c r="A20" t="str">
        <f t="shared" si="0"/>
        <v>Agressivo - DESENVOLVIMENTO</v>
      </c>
      <c r="B20" t="s">
        <v>31</v>
      </c>
      <c r="C20" s="7" t="s">
        <v>26</v>
      </c>
      <c r="D20" s="54">
        <v>0.2</v>
      </c>
    </row>
    <row r="21" spans="1:4" x14ac:dyDescent="0.25">
      <c r="A21" t="str">
        <f t="shared" si="0"/>
        <v>Agressivo - HOTELARIAS</v>
      </c>
      <c r="B21" t="s">
        <v>31</v>
      </c>
      <c r="C21" s="7" t="s">
        <v>27</v>
      </c>
      <c r="D21" s="5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APP</vt:lpstr>
      <vt:lpstr>Planilha2</vt:lpstr>
      <vt:lpstr>aporte</vt:lpstr>
      <vt:lpstr>patrimonio</vt:lpstr>
      <vt:lpstr>qtdAnos</vt:lpstr>
      <vt:lpstr>rendimentoCarteira</vt:lpstr>
      <vt:lpstr>salario</vt:lpstr>
      <vt:lpstr>taxaMensal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Cohen</dc:creator>
  <cp:lastModifiedBy>Erick Cohen</cp:lastModifiedBy>
  <dcterms:created xsi:type="dcterms:W3CDTF">2025-12-17T12:52:13Z</dcterms:created>
  <dcterms:modified xsi:type="dcterms:W3CDTF">2025-12-18T20:07:35Z</dcterms:modified>
</cp:coreProperties>
</file>